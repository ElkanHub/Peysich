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Funnel" sheetId="2" state="visible" r:id="rId2"/>
    <sheet xmlns:r="http://schemas.openxmlformats.org/officeDocument/2006/relationships" name="Sources" sheetId="3" state="visible" r:id="rId3"/>
  </sheets>
  <definedNames>
    <definedName name="_xlnm._FilterDatabase" localSheetId="0" hidden="1">'Leads'!$A$1:$P$200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i val="1"/>
      <color rgb="00666666"/>
    </font>
    <font>
      <name val="Arial"/>
      <color rgb="000000FF"/>
    </font>
    <font>
      <name val="Arial"/>
      <color rgb="00666666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5E1D3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9" fontId="5" fillId="3" borderId="0" pivotButton="0" quotePrefix="0" xfId="0"/>
    <xf numFmtId="1" fontId="2" fillId="0" borderId="0" pivotButton="0" quotePrefix="0" xfId="0"/>
    <xf numFmtId="0" fontId="7" fillId="0" borderId="0" pivotButton="0" quotePrefix="0" xfId="0"/>
    <xf numFmtId="1" fontId="7" fillId="0" borderId="0" pivotButton="0" quotePrefix="0" xfId="0"/>
    <xf numFmtId="9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SchoolSpec</author>
  </authors>
  <commentList>
    <comment ref="A1" authorId="0" shapeId="0">
      <text>
        <t>Legend: fill every white cell. Stage and Source are drop-downs. Row 2 is an example; rows 3-6 are prompts for your own network - replace the bracketed text with real names. The Funnel sheet counts stages from column 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6" customWidth="1" min="3" max="3"/>
    <col width="20" customWidth="1" min="4" max="4"/>
    <col width="18" customWidth="1" min="5" max="5"/>
    <col width="18" customWidth="1" min="6" max="6"/>
    <col width="10" customWidth="1" min="7" max="7"/>
    <col width="22" customWidth="1" min="8" max="8"/>
    <col width="26" customWidth="1" min="9" max="9"/>
    <col width="12" customWidth="1" min="10" max="10"/>
    <col width="12" customWidth="1" min="11" max="11"/>
    <col width="34" customWidth="1" min="12" max="12"/>
    <col width="13" customWidth="1" min="13" max="13"/>
    <col width="12" customWidth="1" min="14" max="14"/>
    <col width="18" customWidth="1" min="15" max="15"/>
    <col width="50" customWidth="1" min="16" max="16"/>
  </cols>
  <sheetData>
    <row r="1">
      <c r="A1" s="1" t="inlineStr">
        <is>
          <t>#</t>
        </is>
      </c>
      <c r="B1" s="1" t="inlineStr">
        <is>
          <t>School</t>
        </is>
      </c>
      <c r="C1" s="1" t="inlineStr">
        <is>
          <t>Town / area</t>
        </is>
      </c>
      <c r="D1" s="1" t="inlineStr">
        <is>
          <t>Person</t>
        </is>
      </c>
      <c r="E1" s="1" t="inlineStr">
        <is>
          <t>Role</t>
        </is>
      </c>
      <c r="F1" s="1" t="inlineStr">
        <is>
          <t>Phone (WhatsApp)</t>
        </is>
      </c>
      <c r="G1" s="1" t="inlineStr">
        <is>
          <t>Pupils (approx)</t>
        </is>
      </c>
      <c r="H1" s="1" t="inlineStr">
        <is>
          <t>Source</t>
        </is>
      </c>
      <c r="I1" s="1" t="inlineStr">
        <is>
          <t>Stage</t>
        </is>
      </c>
      <c r="J1" s="1" t="inlineStr">
        <is>
          <t>Date added</t>
        </is>
      </c>
      <c r="K1" s="1" t="inlineStr">
        <is>
          <t>Last contact</t>
        </is>
      </c>
      <c r="L1" s="1" t="inlineStr">
        <is>
          <t>Next step</t>
        </is>
      </c>
      <c r="M1" s="1" t="inlineStr">
        <is>
          <t>Next step date</t>
        </is>
      </c>
      <c r="N1" s="1" t="inlineStr">
        <is>
          <t>Decides alone?</t>
        </is>
      </c>
      <c r="O1" s="1" t="inlineStr">
        <is>
          <t>Pays fees by</t>
        </is>
      </c>
      <c r="P1" s="1" t="inlineStr">
        <is>
          <t>Notes / what they said</t>
        </is>
      </c>
    </row>
    <row r="2">
      <c r="A2" s="2" t="n">
        <v>1</v>
      </c>
      <c r="B2" s="2" t="inlineStr">
        <is>
          <t>[Example] Grace Community School</t>
        </is>
      </c>
      <c r="C2" s="2" t="inlineStr">
        <is>
          <t>Madina</t>
        </is>
      </c>
      <c r="D2" s="2" t="inlineStr">
        <is>
          <t>Madam Adjei</t>
        </is>
      </c>
      <c r="E2" s="2" t="inlineStr">
        <is>
          <t>Proprietress / Head</t>
        </is>
      </c>
      <c r="F2" s="2" t="inlineStr">
        <is>
          <t>024 000 0000</t>
        </is>
      </c>
      <c r="G2" s="2" t="n">
        <v>300</v>
      </c>
      <c r="H2" s="2" t="inlineStr">
        <is>
          <t>Introduction</t>
        </is>
      </c>
      <c r="I2" s="2" t="inlineStr">
        <is>
          <t>4 Demo done</t>
        </is>
      </c>
      <c r="J2" s="3" t="inlineStr">
        <is>
          <t>2026-09-29</t>
        </is>
      </c>
      <c r="K2" s="3" t="inlineStr">
        <is>
          <t>2026-10-02</t>
        </is>
      </c>
      <c r="L2" s="2" t="inlineStr">
        <is>
          <t>Setup visit, bring MoMo number</t>
        </is>
      </c>
      <c r="M2" s="3" t="inlineStr">
        <is>
          <t>2026-10-06</t>
        </is>
      </c>
      <c r="N2" s="2" t="inlineStr">
        <is>
          <t>Yes</t>
        </is>
      </c>
      <c r="O2" s="2" t="inlineStr">
        <is>
          <t>Cash at office + MoMo</t>
        </is>
      </c>
      <c r="P2" s="4" t="inlineStr">
        <is>
          <t>Loved the register; asked if report cards can show position. Teachers all have Android.</t>
        </is>
      </c>
    </row>
    <row r="3">
      <c r="A3" s="2" t="n">
        <v>2</v>
      </c>
      <c r="B3" s="2" t="inlineStr">
        <is>
          <t>[Your relative's school]</t>
        </is>
      </c>
      <c r="C3" s="2" t="inlineStr"/>
      <c r="D3" s="2" t="inlineStr"/>
      <c r="E3" s="2" t="inlineStr">
        <is>
          <t>Proprietor</t>
        </is>
      </c>
      <c r="F3" s="2" t="inlineStr"/>
      <c r="G3" s="2" t="inlineStr"/>
      <c r="H3" s="2" t="inlineStr">
        <is>
          <t>Person I know</t>
        </is>
      </c>
      <c r="I3" s="2" t="inlineStr">
        <is>
          <t>1 Listed</t>
        </is>
      </c>
      <c r="J3" s="3" t="inlineStr">
        <is>
          <t>2026-09-29</t>
        </is>
      </c>
      <c r="K3" s="3" t="inlineStr"/>
      <c r="L3" s="2" t="inlineStr">
        <is>
          <t>Call and ask for 30 min on their class list</t>
        </is>
      </c>
      <c r="M3" s="3" t="inlineStr"/>
      <c r="N3" s="2" t="inlineStr"/>
      <c r="O3" s="2" t="inlineStr"/>
      <c r="P3" s="4" t="inlineStr"/>
    </row>
    <row r="4">
      <c r="A4" s="2" t="n">
        <v>3</v>
      </c>
      <c r="B4" s="2" t="inlineStr">
        <is>
          <t>[Your old basic school]</t>
        </is>
      </c>
      <c r="C4" s="2" t="inlineStr"/>
      <c r="D4" s="2" t="inlineStr"/>
      <c r="E4" s="2" t="inlineStr">
        <is>
          <t>Head teacher</t>
        </is>
      </c>
      <c r="F4" s="2" t="inlineStr"/>
      <c r="G4" s="2" t="inlineStr"/>
      <c r="H4" s="2" t="inlineStr">
        <is>
          <t>Person I know</t>
        </is>
      </c>
      <c r="I4" s="2" t="inlineStr">
        <is>
          <t>1 Listed</t>
        </is>
      </c>
      <c r="J4" s="3" t="inlineStr">
        <is>
          <t>2026-09-29</t>
        </is>
      </c>
      <c r="K4" s="3" t="inlineStr"/>
      <c r="L4" s="2" t="inlineStr">
        <is>
          <t>Visit at break time with the app</t>
        </is>
      </c>
      <c r="M4" s="3" t="inlineStr"/>
      <c r="N4" s="2" t="inlineStr"/>
      <c r="O4" s="2" t="inlineStr"/>
      <c r="P4" s="4" t="inlineStr"/>
    </row>
    <row r="5">
      <c r="A5" s="2" t="n">
        <v>4</v>
      </c>
      <c r="B5" s="2" t="inlineStr">
        <is>
          <t>[Lead from the website form]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Website lead form</t>
        </is>
      </c>
      <c r="I5" s="2" t="inlineStr">
        <is>
          <t>1 Listed</t>
        </is>
      </c>
      <c r="J5" s="3" t="inlineStr">
        <is>
          <t>2026-09-29</t>
        </is>
      </c>
      <c r="K5" s="3" t="inlineStr"/>
      <c r="L5" s="2" t="inlineStr">
        <is>
          <t>Call the same day</t>
        </is>
      </c>
      <c r="M5" s="3" t="inlineStr"/>
      <c r="N5" s="2" t="inlineStr"/>
      <c r="O5" s="2" t="inlineStr"/>
      <c r="P5" s="4" t="inlineStr"/>
    </row>
    <row r="6">
      <c r="A6" s="2" t="n">
        <v>5</v>
      </c>
      <c r="B6" s="2" t="inlineStr">
        <is>
          <t>[School next to where you live]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Walk-in</t>
        </is>
      </c>
      <c r="I6" s="2" t="inlineStr">
        <is>
          <t>1 Listed</t>
        </is>
      </c>
      <c r="J6" s="3" t="inlineStr">
        <is>
          <t>2026-09-29</t>
        </is>
      </c>
      <c r="K6" s="3" t="inlineStr"/>
      <c r="L6" s="2" t="inlineStr">
        <is>
          <t>Walk in, ask for the proprietor</t>
        </is>
      </c>
      <c r="M6" s="3" t="inlineStr"/>
      <c r="N6" s="2" t="inlineStr"/>
      <c r="O6" s="2" t="inlineStr"/>
      <c r="P6" s="4" t="inlineStr"/>
    </row>
    <row r="7">
      <c r="A7" s="2" t="n">
        <v>6</v>
      </c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2" t="n"/>
      <c r="M7" s="3" t="n"/>
      <c r="N7" s="2" t="n"/>
      <c r="O7" s="2" t="n"/>
      <c r="P7" s="4" t="n"/>
    </row>
    <row r="8">
      <c r="A8" s="2" t="n">
        <v>7</v>
      </c>
      <c r="B8" s="2" t="n"/>
      <c r="C8" s="2" t="n"/>
      <c r="D8" s="2" t="n"/>
      <c r="E8" s="2" t="n"/>
      <c r="F8" s="2" t="n"/>
      <c r="G8" s="2" t="n"/>
      <c r="H8" s="2" t="n"/>
      <c r="I8" s="2" t="n"/>
      <c r="J8" s="3" t="n"/>
      <c r="K8" s="3" t="n"/>
      <c r="L8" s="2" t="n"/>
      <c r="M8" s="3" t="n"/>
      <c r="N8" s="2" t="n"/>
      <c r="O8" s="2" t="n"/>
      <c r="P8" s="4" t="n"/>
    </row>
    <row r="9">
      <c r="A9" s="2" t="n">
        <v>8</v>
      </c>
      <c r="B9" s="2" t="n"/>
      <c r="C9" s="2" t="n"/>
      <c r="D9" s="2" t="n"/>
      <c r="E9" s="2" t="n"/>
      <c r="F9" s="2" t="n"/>
      <c r="G9" s="2" t="n"/>
      <c r="H9" s="2" t="n"/>
      <c r="I9" s="2" t="n"/>
      <c r="J9" s="3" t="n"/>
      <c r="K9" s="3" t="n"/>
      <c r="L9" s="2" t="n"/>
      <c r="M9" s="3" t="n"/>
      <c r="N9" s="2" t="n"/>
      <c r="O9" s="2" t="n"/>
      <c r="P9" s="4" t="n"/>
    </row>
    <row r="10">
      <c r="A10" s="2" t="n">
        <v>9</v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3" t="n"/>
      <c r="K10" s="3" t="n"/>
      <c r="L10" s="2" t="n"/>
      <c r="M10" s="3" t="n"/>
      <c r="N10" s="2" t="n"/>
      <c r="O10" s="2" t="n"/>
      <c r="P10" s="4" t="n"/>
    </row>
    <row r="11">
      <c r="A11" s="2" t="n">
        <v>10</v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  <c r="K11" s="3" t="n"/>
      <c r="L11" s="2" t="n"/>
      <c r="M11" s="3" t="n"/>
      <c r="N11" s="2" t="n"/>
      <c r="O11" s="2" t="n"/>
      <c r="P11" s="4" t="n"/>
    </row>
    <row r="12">
      <c r="A12" s="2" t="n">
        <v>11</v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3" t="n"/>
      <c r="K12" s="3" t="n"/>
      <c r="L12" s="2" t="n"/>
      <c r="M12" s="3" t="n"/>
      <c r="N12" s="2" t="n"/>
      <c r="O12" s="2" t="n"/>
      <c r="P12" s="4" t="n"/>
    </row>
    <row r="13">
      <c r="A13" s="2" t="n">
        <v>12</v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3" t="n"/>
      <c r="K13" s="3" t="n"/>
      <c r="L13" s="2" t="n"/>
      <c r="M13" s="3" t="n"/>
      <c r="N13" s="2" t="n"/>
      <c r="O13" s="2" t="n"/>
      <c r="P13" s="4" t="n"/>
    </row>
    <row r="14">
      <c r="A14" s="2" t="n">
        <v>13</v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  <c r="K14" s="3" t="n"/>
      <c r="L14" s="2" t="n"/>
      <c r="M14" s="3" t="n"/>
      <c r="N14" s="2" t="n"/>
      <c r="O14" s="2" t="n"/>
      <c r="P14" s="4" t="n"/>
    </row>
    <row r="15">
      <c r="A15" s="2" t="n">
        <v>14</v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  <c r="K15" s="3" t="n"/>
      <c r="L15" s="2" t="n"/>
      <c r="M15" s="3" t="n"/>
      <c r="N15" s="2" t="n"/>
      <c r="O15" s="2" t="n"/>
      <c r="P15" s="4" t="n"/>
    </row>
    <row r="16">
      <c r="A16" s="2" t="n">
        <v>15</v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  <c r="K16" s="3" t="n"/>
      <c r="L16" s="2" t="n"/>
      <c r="M16" s="3" t="n"/>
      <c r="N16" s="2" t="n"/>
      <c r="O16" s="2" t="n"/>
      <c r="P16" s="4" t="n"/>
    </row>
    <row r="17">
      <c r="A17" s="2" t="n">
        <v>16</v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3" t="n"/>
      <c r="K17" s="3" t="n"/>
      <c r="L17" s="2" t="n"/>
      <c r="M17" s="3" t="n"/>
      <c r="N17" s="2" t="n"/>
      <c r="O17" s="2" t="n"/>
      <c r="P17" s="4" t="n"/>
    </row>
    <row r="18">
      <c r="A18" s="2" t="n">
        <v>17</v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3" t="n"/>
      <c r="K18" s="3" t="n"/>
      <c r="L18" s="2" t="n"/>
      <c r="M18" s="3" t="n"/>
      <c r="N18" s="2" t="n"/>
      <c r="O18" s="2" t="n"/>
      <c r="P18" s="4" t="n"/>
    </row>
    <row r="19">
      <c r="A19" s="2" t="n">
        <v>18</v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3" t="n"/>
      <c r="K19" s="3" t="n"/>
      <c r="L19" s="2" t="n"/>
      <c r="M19" s="3" t="n"/>
      <c r="N19" s="2" t="n"/>
      <c r="O19" s="2" t="n"/>
      <c r="P19" s="4" t="n"/>
    </row>
    <row r="20">
      <c r="A20" s="2" t="n">
        <v>19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3" t="n"/>
      <c r="K20" s="3" t="n"/>
      <c r="L20" s="2" t="n"/>
      <c r="M20" s="3" t="n"/>
      <c r="N20" s="2" t="n"/>
      <c r="O20" s="2" t="n"/>
      <c r="P20" s="4" t="n"/>
    </row>
    <row r="21">
      <c r="A21" s="2" t="n">
        <v>20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3" t="n"/>
      <c r="K21" s="3" t="n"/>
      <c r="L21" s="2" t="n"/>
      <c r="M21" s="3" t="n"/>
      <c r="N21" s="2" t="n"/>
      <c r="O21" s="2" t="n"/>
      <c r="P21" s="4" t="n"/>
    </row>
    <row r="22">
      <c r="A22" s="2" t="n">
        <v>21</v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3" t="n"/>
      <c r="K22" s="3" t="n"/>
      <c r="L22" s="2" t="n"/>
      <c r="M22" s="3" t="n"/>
      <c r="N22" s="2" t="n"/>
      <c r="O22" s="2" t="n"/>
      <c r="P22" s="4" t="n"/>
    </row>
    <row r="23">
      <c r="A23" s="2" t="n">
        <v>22</v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3" t="n"/>
      <c r="K23" s="3" t="n"/>
      <c r="L23" s="2" t="n"/>
      <c r="M23" s="3" t="n"/>
      <c r="N23" s="2" t="n"/>
      <c r="O23" s="2" t="n"/>
      <c r="P23" s="4" t="n"/>
    </row>
    <row r="24">
      <c r="A24" s="2" t="n">
        <v>23</v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3" t="n"/>
      <c r="K24" s="3" t="n"/>
      <c r="L24" s="2" t="n"/>
      <c r="M24" s="3" t="n"/>
      <c r="N24" s="2" t="n"/>
      <c r="O24" s="2" t="n"/>
      <c r="P24" s="4" t="n"/>
    </row>
    <row r="25">
      <c r="A25" s="2" t="n">
        <v>24</v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3" t="n"/>
      <c r="K25" s="3" t="n"/>
      <c r="L25" s="2" t="n"/>
      <c r="M25" s="3" t="n"/>
      <c r="N25" s="2" t="n"/>
      <c r="O25" s="2" t="n"/>
      <c r="P25" s="4" t="n"/>
    </row>
    <row r="26">
      <c r="A26" s="2" t="n">
        <v>25</v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3" t="n"/>
      <c r="K26" s="3" t="n"/>
      <c r="L26" s="2" t="n"/>
      <c r="M26" s="3" t="n"/>
      <c r="N26" s="2" t="n"/>
      <c r="O26" s="2" t="n"/>
      <c r="P26" s="4" t="n"/>
    </row>
    <row r="27">
      <c r="A27" s="2" t="n">
        <v>26</v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  <c r="K27" s="3" t="n"/>
      <c r="L27" s="2" t="n"/>
      <c r="M27" s="3" t="n"/>
      <c r="N27" s="2" t="n"/>
      <c r="O27" s="2" t="n"/>
      <c r="P27" s="4" t="n"/>
    </row>
    <row r="28">
      <c r="A28" s="2" t="n">
        <v>27</v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3" t="n"/>
      <c r="K28" s="3" t="n"/>
      <c r="L28" s="2" t="n"/>
      <c r="M28" s="3" t="n"/>
      <c r="N28" s="2" t="n"/>
      <c r="O28" s="2" t="n"/>
      <c r="P28" s="4" t="n"/>
    </row>
    <row r="29">
      <c r="A29" s="2" t="n">
        <v>28</v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3" t="n"/>
      <c r="K29" s="3" t="n"/>
      <c r="L29" s="2" t="n"/>
      <c r="M29" s="3" t="n"/>
      <c r="N29" s="2" t="n"/>
      <c r="O29" s="2" t="n"/>
      <c r="P29" s="4" t="n"/>
    </row>
    <row r="30">
      <c r="A30" s="2" t="n">
        <v>29</v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3" t="n"/>
      <c r="K30" s="3" t="n"/>
      <c r="L30" s="2" t="n"/>
      <c r="M30" s="3" t="n"/>
      <c r="N30" s="2" t="n"/>
      <c r="O30" s="2" t="n"/>
      <c r="P30" s="4" t="n"/>
    </row>
    <row r="31">
      <c r="A31" s="2" t="n">
        <v>30</v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3" t="n"/>
      <c r="K31" s="3" t="n"/>
      <c r="L31" s="2" t="n"/>
      <c r="M31" s="3" t="n"/>
      <c r="N31" s="2" t="n"/>
      <c r="O31" s="2" t="n"/>
      <c r="P31" s="4" t="n"/>
    </row>
    <row r="32">
      <c r="A32" s="2" t="n">
        <v>31</v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3" t="n"/>
      <c r="K32" s="3" t="n"/>
      <c r="L32" s="2" t="n"/>
      <c r="M32" s="3" t="n"/>
      <c r="N32" s="2" t="n"/>
      <c r="O32" s="2" t="n"/>
      <c r="P32" s="4" t="n"/>
    </row>
    <row r="33">
      <c r="A33" s="2" t="n">
        <v>32</v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3" t="n"/>
      <c r="K33" s="3" t="n"/>
      <c r="L33" s="2" t="n"/>
      <c r="M33" s="3" t="n"/>
      <c r="N33" s="2" t="n"/>
      <c r="O33" s="2" t="n"/>
      <c r="P33" s="4" t="n"/>
    </row>
    <row r="34">
      <c r="A34" s="2" t="n">
        <v>33</v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3" t="n"/>
      <c r="K34" s="3" t="n"/>
      <c r="L34" s="2" t="n"/>
      <c r="M34" s="3" t="n"/>
      <c r="N34" s="2" t="n"/>
      <c r="O34" s="2" t="n"/>
      <c r="P34" s="4" t="n"/>
    </row>
    <row r="35">
      <c r="A35" s="2" t="n">
        <v>34</v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3" t="n"/>
      <c r="K35" s="3" t="n"/>
      <c r="L35" s="2" t="n"/>
      <c r="M35" s="3" t="n"/>
      <c r="N35" s="2" t="n"/>
      <c r="O35" s="2" t="n"/>
      <c r="P35" s="4" t="n"/>
    </row>
    <row r="36">
      <c r="A36" s="2" t="n">
        <v>35</v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3" t="n"/>
      <c r="K36" s="3" t="n"/>
      <c r="L36" s="2" t="n"/>
      <c r="M36" s="3" t="n"/>
      <c r="N36" s="2" t="n"/>
      <c r="O36" s="2" t="n"/>
      <c r="P36" s="4" t="n"/>
    </row>
    <row r="37">
      <c r="A37" s="2" t="n">
        <v>36</v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3" t="n"/>
      <c r="K37" s="3" t="n"/>
      <c r="L37" s="2" t="n"/>
      <c r="M37" s="3" t="n"/>
      <c r="N37" s="2" t="n"/>
      <c r="O37" s="2" t="n"/>
      <c r="P37" s="4" t="n"/>
    </row>
    <row r="38">
      <c r="A38" s="2" t="n">
        <v>37</v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3" t="n"/>
      <c r="K38" s="3" t="n"/>
      <c r="L38" s="2" t="n"/>
      <c r="M38" s="3" t="n"/>
      <c r="N38" s="2" t="n"/>
      <c r="O38" s="2" t="n"/>
      <c r="P38" s="4" t="n"/>
    </row>
    <row r="39">
      <c r="A39" s="2" t="n">
        <v>38</v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3" t="n"/>
      <c r="K39" s="3" t="n"/>
      <c r="L39" s="2" t="n"/>
      <c r="M39" s="3" t="n"/>
      <c r="N39" s="2" t="n"/>
      <c r="O39" s="2" t="n"/>
      <c r="P39" s="4" t="n"/>
    </row>
    <row r="40">
      <c r="A40" s="2" t="n">
        <v>39</v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3" t="n"/>
      <c r="K40" s="3" t="n"/>
      <c r="L40" s="2" t="n"/>
      <c r="M40" s="3" t="n"/>
      <c r="N40" s="2" t="n"/>
      <c r="O40" s="2" t="n"/>
      <c r="P40" s="4" t="n"/>
    </row>
    <row r="41">
      <c r="A41" s="2" t="n">
        <v>40</v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3" t="n"/>
      <c r="K41" s="3" t="n"/>
      <c r="L41" s="2" t="n"/>
      <c r="M41" s="3" t="n"/>
      <c r="N41" s="2" t="n"/>
      <c r="O41" s="2" t="n"/>
      <c r="P41" s="4" t="n"/>
    </row>
    <row r="42">
      <c r="A42" s="2" t="n">
        <v>41</v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3" t="n"/>
      <c r="K42" s="3" t="n"/>
      <c r="L42" s="2" t="n"/>
      <c r="M42" s="3" t="n"/>
      <c r="N42" s="2" t="n"/>
      <c r="O42" s="2" t="n"/>
      <c r="P42" s="4" t="n"/>
    </row>
    <row r="43">
      <c r="A43" s="2" t="n">
        <v>42</v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3" t="n"/>
      <c r="K43" s="3" t="n"/>
      <c r="L43" s="2" t="n"/>
      <c r="M43" s="3" t="n"/>
      <c r="N43" s="2" t="n"/>
      <c r="O43" s="2" t="n"/>
      <c r="P43" s="4" t="n"/>
    </row>
    <row r="44">
      <c r="A44" s="2" t="n">
        <v>43</v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3" t="n"/>
      <c r="K44" s="3" t="n"/>
      <c r="L44" s="2" t="n"/>
      <c r="M44" s="3" t="n"/>
      <c r="N44" s="2" t="n"/>
      <c r="O44" s="2" t="n"/>
      <c r="P44" s="4" t="n"/>
    </row>
    <row r="45">
      <c r="A45" s="2" t="n">
        <v>44</v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3" t="n"/>
      <c r="K45" s="3" t="n"/>
      <c r="L45" s="2" t="n"/>
      <c r="M45" s="3" t="n"/>
      <c r="N45" s="2" t="n"/>
      <c r="O45" s="2" t="n"/>
      <c r="P45" s="4" t="n"/>
    </row>
    <row r="46">
      <c r="A46" s="2" t="n">
        <v>45</v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3" t="n"/>
      <c r="K46" s="3" t="n"/>
      <c r="L46" s="2" t="n"/>
      <c r="M46" s="3" t="n"/>
      <c r="N46" s="2" t="n"/>
      <c r="O46" s="2" t="n"/>
      <c r="P46" s="4" t="n"/>
    </row>
    <row r="47">
      <c r="A47" s="2" t="n">
        <v>46</v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3" t="n"/>
      <c r="K47" s="3" t="n"/>
      <c r="L47" s="2" t="n"/>
      <c r="M47" s="3" t="n"/>
      <c r="N47" s="2" t="n"/>
      <c r="O47" s="2" t="n"/>
      <c r="P47" s="4" t="n"/>
    </row>
    <row r="48">
      <c r="A48" s="2" t="n">
        <v>47</v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3" t="n"/>
      <c r="K48" s="3" t="n"/>
      <c r="L48" s="2" t="n"/>
      <c r="M48" s="3" t="n"/>
      <c r="N48" s="2" t="n"/>
      <c r="O48" s="2" t="n"/>
      <c r="P48" s="4" t="n"/>
    </row>
    <row r="49">
      <c r="A49" s="2" t="n">
        <v>48</v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3" t="n"/>
      <c r="K49" s="3" t="n"/>
      <c r="L49" s="2" t="n"/>
      <c r="M49" s="3" t="n"/>
      <c r="N49" s="2" t="n"/>
      <c r="O49" s="2" t="n"/>
      <c r="P49" s="4" t="n"/>
    </row>
    <row r="50">
      <c r="A50" s="2" t="n">
        <v>49</v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3" t="n"/>
      <c r="K50" s="3" t="n"/>
      <c r="L50" s="2" t="n"/>
      <c r="M50" s="3" t="n"/>
      <c r="N50" s="2" t="n"/>
      <c r="O50" s="2" t="n"/>
      <c r="P50" s="4" t="n"/>
    </row>
    <row r="51">
      <c r="A51" s="2" t="n">
        <v>50</v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3" t="n"/>
      <c r="K51" s="3" t="n"/>
      <c r="L51" s="2" t="n"/>
      <c r="M51" s="3" t="n"/>
      <c r="N51" s="2" t="n"/>
      <c r="O51" s="2" t="n"/>
      <c r="P51" s="4" t="n"/>
    </row>
    <row r="52">
      <c r="A52" s="2" t="n">
        <v>51</v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3" t="n"/>
      <c r="K52" s="3" t="n"/>
      <c r="L52" s="2" t="n"/>
      <c r="M52" s="3" t="n"/>
      <c r="N52" s="2" t="n"/>
      <c r="O52" s="2" t="n"/>
      <c r="P52" s="4" t="n"/>
    </row>
    <row r="53">
      <c r="A53" s="2" t="n">
        <v>52</v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3" t="n"/>
      <c r="K53" s="3" t="n"/>
      <c r="L53" s="2" t="n"/>
      <c r="M53" s="3" t="n"/>
      <c r="N53" s="2" t="n"/>
      <c r="O53" s="2" t="n"/>
      <c r="P53" s="4" t="n"/>
    </row>
    <row r="54">
      <c r="A54" s="2" t="n">
        <v>53</v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3" t="n"/>
      <c r="K54" s="3" t="n"/>
      <c r="L54" s="2" t="n"/>
      <c r="M54" s="3" t="n"/>
      <c r="N54" s="2" t="n"/>
      <c r="O54" s="2" t="n"/>
      <c r="P54" s="4" t="n"/>
    </row>
    <row r="55">
      <c r="A55" s="2" t="n">
        <v>54</v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3" t="n"/>
      <c r="K55" s="3" t="n"/>
      <c r="L55" s="2" t="n"/>
      <c r="M55" s="3" t="n"/>
      <c r="N55" s="2" t="n"/>
      <c r="O55" s="2" t="n"/>
      <c r="P55" s="4" t="n"/>
    </row>
    <row r="56">
      <c r="A56" s="2" t="n">
        <v>55</v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3" t="n"/>
      <c r="K56" s="3" t="n"/>
      <c r="L56" s="2" t="n"/>
      <c r="M56" s="3" t="n"/>
      <c r="N56" s="2" t="n"/>
      <c r="O56" s="2" t="n"/>
      <c r="P56" s="4" t="n"/>
    </row>
    <row r="57">
      <c r="A57" s="2" t="n">
        <v>56</v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3" t="n"/>
      <c r="K57" s="3" t="n"/>
      <c r="L57" s="2" t="n"/>
      <c r="M57" s="3" t="n"/>
      <c r="N57" s="2" t="n"/>
      <c r="O57" s="2" t="n"/>
      <c r="P57" s="4" t="n"/>
    </row>
    <row r="58">
      <c r="A58" s="2" t="n">
        <v>57</v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3" t="n"/>
      <c r="K58" s="3" t="n"/>
      <c r="L58" s="2" t="n"/>
      <c r="M58" s="3" t="n"/>
      <c r="N58" s="2" t="n"/>
      <c r="O58" s="2" t="n"/>
      <c r="P58" s="4" t="n"/>
    </row>
    <row r="59">
      <c r="A59" s="2" t="n">
        <v>58</v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3" t="n"/>
      <c r="K59" s="3" t="n"/>
      <c r="L59" s="2" t="n"/>
      <c r="M59" s="3" t="n"/>
      <c r="N59" s="2" t="n"/>
      <c r="O59" s="2" t="n"/>
      <c r="P59" s="4" t="n"/>
    </row>
    <row r="60">
      <c r="A60" s="2" t="n">
        <v>59</v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3" t="n"/>
      <c r="K60" s="3" t="n"/>
      <c r="L60" s="2" t="n"/>
      <c r="M60" s="3" t="n"/>
      <c r="N60" s="2" t="n"/>
      <c r="O60" s="2" t="n"/>
      <c r="P60" s="4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3" t="n"/>
      <c r="K61" s="3" t="n"/>
      <c r="L61" s="2" t="n"/>
      <c r="M61" s="3" t="n"/>
      <c r="N61" s="2" t="n"/>
      <c r="O61" s="2" t="n"/>
      <c r="P61" s="4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3" t="n"/>
      <c r="K62" s="3" t="n"/>
      <c r="L62" s="2" t="n"/>
      <c r="M62" s="3" t="n"/>
      <c r="N62" s="2" t="n"/>
      <c r="O62" s="2" t="n"/>
      <c r="P62" s="4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3" t="n"/>
      <c r="K63" s="3" t="n"/>
      <c r="L63" s="2" t="n"/>
      <c r="M63" s="3" t="n"/>
      <c r="N63" s="2" t="n"/>
      <c r="O63" s="2" t="n"/>
      <c r="P63" s="4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3" t="n"/>
      <c r="K64" s="3" t="n"/>
      <c r="L64" s="2" t="n"/>
      <c r="M64" s="3" t="n"/>
      <c r="N64" s="2" t="n"/>
      <c r="O64" s="2" t="n"/>
      <c r="P64" s="4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3" t="n"/>
      <c r="K65" s="3" t="n"/>
      <c r="L65" s="2" t="n"/>
      <c r="M65" s="3" t="n"/>
      <c r="N65" s="2" t="n"/>
      <c r="O65" s="2" t="n"/>
      <c r="P65" s="4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3" t="n"/>
      <c r="K66" s="3" t="n"/>
      <c r="L66" s="2" t="n"/>
      <c r="M66" s="3" t="n"/>
      <c r="N66" s="2" t="n"/>
      <c r="O66" s="2" t="n"/>
      <c r="P66" s="4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3" t="n"/>
      <c r="K67" s="3" t="n"/>
      <c r="L67" s="2" t="n"/>
      <c r="M67" s="3" t="n"/>
      <c r="N67" s="2" t="n"/>
      <c r="O67" s="2" t="n"/>
      <c r="P67" s="4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3" t="n"/>
      <c r="K68" s="3" t="n"/>
      <c r="L68" s="2" t="n"/>
      <c r="M68" s="3" t="n"/>
      <c r="N68" s="2" t="n"/>
      <c r="O68" s="2" t="n"/>
      <c r="P68" s="4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3" t="n"/>
      <c r="K69" s="3" t="n"/>
      <c r="L69" s="2" t="n"/>
      <c r="M69" s="3" t="n"/>
      <c r="N69" s="2" t="n"/>
      <c r="O69" s="2" t="n"/>
      <c r="P69" s="4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3" t="n"/>
      <c r="K70" s="3" t="n"/>
      <c r="L70" s="2" t="n"/>
      <c r="M70" s="3" t="n"/>
      <c r="N70" s="2" t="n"/>
      <c r="O70" s="2" t="n"/>
      <c r="P70" s="4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3" t="n"/>
      <c r="K71" s="3" t="n"/>
      <c r="L71" s="2" t="n"/>
      <c r="M71" s="3" t="n"/>
      <c r="N71" s="2" t="n"/>
      <c r="O71" s="2" t="n"/>
      <c r="P71" s="4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3" t="n"/>
      <c r="K72" s="3" t="n"/>
      <c r="L72" s="2" t="n"/>
      <c r="M72" s="3" t="n"/>
      <c r="N72" s="2" t="n"/>
      <c r="O72" s="2" t="n"/>
      <c r="P72" s="4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3" t="n"/>
      <c r="K73" s="3" t="n"/>
      <c r="L73" s="2" t="n"/>
      <c r="M73" s="3" t="n"/>
      <c r="N73" s="2" t="n"/>
      <c r="O73" s="2" t="n"/>
      <c r="P73" s="4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3" t="n"/>
      <c r="K74" s="3" t="n"/>
      <c r="L74" s="2" t="n"/>
      <c r="M74" s="3" t="n"/>
      <c r="N74" s="2" t="n"/>
      <c r="O74" s="2" t="n"/>
      <c r="P74" s="4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3" t="n"/>
      <c r="K75" s="3" t="n"/>
      <c r="L75" s="2" t="n"/>
      <c r="M75" s="3" t="n"/>
      <c r="N75" s="2" t="n"/>
      <c r="O75" s="2" t="n"/>
      <c r="P75" s="4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3" t="n"/>
      <c r="K76" s="3" t="n"/>
      <c r="L76" s="2" t="n"/>
      <c r="M76" s="3" t="n"/>
      <c r="N76" s="2" t="n"/>
      <c r="O76" s="2" t="n"/>
      <c r="P76" s="4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3" t="n"/>
      <c r="K77" s="3" t="n"/>
      <c r="L77" s="2" t="n"/>
      <c r="M77" s="3" t="n"/>
      <c r="N77" s="2" t="n"/>
      <c r="O77" s="2" t="n"/>
      <c r="P77" s="4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3" t="n"/>
      <c r="K78" s="3" t="n"/>
      <c r="L78" s="2" t="n"/>
      <c r="M78" s="3" t="n"/>
      <c r="N78" s="2" t="n"/>
      <c r="O78" s="2" t="n"/>
      <c r="P78" s="4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3" t="n"/>
      <c r="K79" s="3" t="n"/>
      <c r="L79" s="2" t="n"/>
      <c r="M79" s="3" t="n"/>
      <c r="N79" s="2" t="n"/>
      <c r="O79" s="2" t="n"/>
      <c r="P79" s="4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3" t="n"/>
      <c r="K80" s="3" t="n"/>
      <c r="L80" s="2" t="n"/>
      <c r="M80" s="3" t="n"/>
      <c r="N80" s="2" t="n"/>
      <c r="O80" s="2" t="n"/>
      <c r="P80" s="4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3" t="n"/>
      <c r="K81" s="3" t="n"/>
      <c r="L81" s="2" t="n"/>
      <c r="M81" s="3" t="n"/>
      <c r="N81" s="2" t="n"/>
      <c r="O81" s="2" t="n"/>
      <c r="P81" s="4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3" t="n"/>
      <c r="K82" s="3" t="n"/>
      <c r="L82" s="2" t="n"/>
      <c r="M82" s="3" t="n"/>
      <c r="N82" s="2" t="n"/>
      <c r="O82" s="2" t="n"/>
      <c r="P82" s="4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3" t="n"/>
      <c r="K83" s="3" t="n"/>
      <c r="L83" s="2" t="n"/>
      <c r="M83" s="3" t="n"/>
      <c r="N83" s="2" t="n"/>
      <c r="O83" s="2" t="n"/>
      <c r="P83" s="4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3" t="n"/>
      <c r="K84" s="3" t="n"/>
      <c r="L84" s="2" t="n"/>
      <c r="M84" s="3" t="n"/>
      <c r="N84" s="2" t="n"/>
      <c r="O84" s="2" t="n"/>
      <c r="P84" s="4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3" t="n"/>
      <c r="K85" s="3" t="n"/>
      <c r="L85" s="2" t="n"/>
      <c r="M85" s="3" t="n"/>
      <c r="N85" s="2" t="n"/>
      <c r="O85" s="2" t="n"/>
      <c r="P85" s="4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3" t="n"/>
      <c r="K86" s="3" t="n"/>
      <c r="L86" s="2" t="n"/>
      <c r="M86" s="3" t="n"/>
      <c r="N86" s="2" t="n"/>
      <c r="O86" s="2" t="n"/>
      <c r="P86" s="4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3" t="n"/>
      <c r="K87" s="3" t="n"/>
      <c r="L87" s="2" t="n"/>
      <c r="M87" s="3" t="n"/>
      <c r="N87" s="2" t="n"/>
      <c r="O87" s="2" t="n"/>
      <c r="P87" s="4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3" t="n"/>
      <c r="K88" s="3" t="n"/>
      <c r="L88" s="2" t="n"/>
      <c r="M88" s="3" t="n"/>
      <c r="N88" s="2" t="n"/>
      <c r="O88" s="2" t="n"/>
      <c r="P88" s="4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3" t="n"/>
      <c r="K89" s="3" t="n"/>
      <c r="L89" s="2" t="n"/>
      <c r="M89" s="3" t="n"/>
      <c r="N89" s="2" t="n"/>
      <c r="O89" s="2" t="n"/>
      <c r="P89" s="4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3" t="n"/>
      <c r="K90" s="3" t="n"/>
      <c r="L90" s="2" t="n"/>
      <c r="M90" s="3" t="n"/>
      <c r="N90" s="2" t="n"/>
      <c r="O90" s="2" t="n"/>
      <c r="P90" s="4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3" t="n"/>
      <c r="K91" s="3" t="n"/>
      <c r="L91" s="2" t="n"/>
      <c r="M91" s="3" t="n"/>
      <c r="N91" s="2" t="n"/>
      <c r="O91" s="2" t="n"/>
      <c r="P91" s="4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3" t="n"/>
      <c r="K92" s="3" t="n"/>
      <c r="L92" s="2" t="n"/>
      <c r="M92" s="3" t="n"/>
      <c r="N92" s="2" t="n"/>
      <c r="O92" s="2" t="n"/>
      <c r="P92" s="4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3" t="n"/>
      <c r="K93" s="3" t="n"/>
      <c r="L93" s="2" t="n"/>
      <c r="M93" s="3" t="n"/>
      <c r="N93" s="2" t="n"/>
      <c r="O93" s="2" t="n"/>
      <c r="P93" s="4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3" t="n"/>
      <c r="K94" s="3" t="n"/>
      <c r="L94" s="2" t="n"/>
      <c r="M94" s="3" t="n"/>
      <c r="N94" s="2" t="n"/>
      <c r="O94" s="2" t="n"/>
      <c r="P94" s="4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3" t="n"/>
      <c r="K95" s="3" t="n"/>
      <c r="L95" s="2" t="n"/>
      <c r="M95" s="3" t="n"/>
      <c r="N95" s="2" t="n"/>
      <c r="O95" s="2" t="n"/>
      <c r="P95" s="4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3" t="n"/>
      <c r="K96" s="3" t="n"/>
      <c r="L96" s="2" t="n"/>
      <c r="M96" s="3" t="n"/>
      <c r="N96" s="2" t="n"/>
      <c r="O96" s="2" t="n"/>
      <c r="P96" s="4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3" t="n"/>
      <c r="K97" s="3" t="n"/>
      <c r="L97" s="2" t="n"/>
      <c r="M97" s="3" t="n"/>
      <c r="N97" s="2" t="n"/>
      <c r="O97" s="2" t="n"/>
      <c r="P97" s="4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3" t="n"/>
      <c r="K98" s="3" t="n"/>
      <c r="L98" s="2" t="n"/>
      <c r="M98" s="3" t="n"/>
      <c r="N98" s="2" t="n"/>
      <c r="O98" s="2" t="n"/>
      <c r="P98" s="4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3" t="n"/>
      <c r="K99" s="3" t="n"/>
      <c r="L99" s="2" t="n"/>
      <c r="M99" s="3" t="n"/>
      <c r="N99" s="2" t="n"/>
      <c r="O99" s="2" t="n"/>
      <c r="P99" s="4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3" t="n"/>
      <c r="K100" s="3" t="n"/>
      <c r="L100" s="2" t="n"/>
      <c r="M100" s="3" t="n"/>
      <c r="N100" s="2" t="n"/>
      <c r="O100" s="2" t="n"/>
      <c r="P100" s="4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3" t="n"/>
      <c r="K101" s="3" t="n"/>
      <c r="L101" s="2" t="n"/>
      <c r="M101" s="3" t="n"/>
      <c r="N101" s="2" t="n"/>
      <c r="O101" s="2" t="n"/>
      <c r="P101" s="4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3" t="n"/>
      <c r="K102" s="3" t="n"/>
      <c r="L102" s="2" t="n"/>
      <c r="M102" s="3" t="n"/>
      <c r="N102" s="2" t="n"/>
      <c r="O102" s="2" t="n"/>
      <c r="P102" s="4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3" t="n"/>
      <c r="K103" s="3" t="n"/>
      <c r="L103" s="2" t="n"/>
      <c r="M103" s="3" t="n"/>
      <c r="N103" s="2" t="n"/>
      <c r="O103" s="2" t="n"/>
      <c r="P103" s="4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3" t="n"/>
      <c r="K104" s="3" t="n"/>
      <c r="L104" s="2" t="n"/>
      <c r="M104" s="3" t="n"/>
      <c r="N104" s="2" t="n"/>
      <c r="O104" s="2" t="n"/>
      <c r="P104" s="4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3" t="n"/>
      <c r="K105" s="3" t="n"/>
      <c r="L105" s="2" t="n"/>
      <c r="M105" s="3" t="n"/>
      <c r="N105" s="2" t="n"/>
      <c r="O105" s="2" t="n"/>
      <c r="P105" s="4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3" t="n"/>
      <c r="K106" s="3" t="n"/>
      <c r="L106" s="2" t="n"/>
      <c r="M106" s="3" t="n"/>
      <c r="N106" s="2" t="n"/>
      <c r="O106" s="2" t="n"/>
      <c r="P106" s="4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3" t="n"/>
      <c r="K107" s="3" t="n"/>
      <c r="L107" s="2" t="n"/>
      <c r="M107" s="3" t="n"/>
      <c r="N107" s="2" t="n"/>
      <c r="O107" s="2" t="n"/>
      <c r="P107" s="4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3" t="n"/>
      <c r="K108" s="3" t="n"/>
      <c r="L108" s="2" t="n"/>
      <c r="M108" s="3" t="n"/>
      <c r="N108" s="2" t="n"/>
      <c r="O108" s="2" t="n"/>
      <c r="P108" s="4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3" t="n"/>
      <c r="K109" s="3" t="n"/>
      <c r="L109" s="2" t="n"/>
      <c r="M109" s="3" t="n"/>
      <c r="N109" s="2" t="n"/>
      <c r="O109" s="2" t="n"/>
      <c r="P109" s="4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3" t="n"/>
      <c r="K110" s="3" t="n"/>
      <c r="L110" s="2" t="n"/>
      <c r="M110" s="3" t="n"/>
      <c r="N110" s="2" t="n"/>
      <c r="O110" s="2" t="n"/>
      <c r="P110" s="4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3" t="n"/>
      <c r="K111" s="3" t="n"/>
      <c r="L111" s="2" t="n"/>
      <c r="M111" s="3" t="n"/>
      <c r="N111" s="2" t="n"/>
      <c r="O111" s="2" t="n"/>
      <c r="P111" s="4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3" t="n"/>
      <c r="K112" s="3" t="n"/>
      <c r="L112" s="2" t="n"/>
      <c r="M112" s="3" t="n"/>
      <c r="N112" s="2" t="n"/>
      <c r="O112" s="2" t="n"/>
      <c r="P112" s="4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3" t="n"/>
      <c r="K113" s="3" t="n"/>
      <c r="L113" s="2" t="n"/>
      <c r="M113" s="3" t="n"/>
      <c r="N113" s="2" t="n"/>
      <c r="O113" s="2" t="n"/>
      <c r="P113" s="4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3" t="n"/>
      <c r="K114" s="3" t="n"/>
      <c r="L114" s="2" t="n"/>
      <c r="M114" s="3" t="n"/>
      <c r="N114" s="2" t="n"/>
      <c r="O114" s="2" t="n"/>
      <c r="P114" s="4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3" t="n"/>
      <c r="K115" s="3" t="n"/>
      <c r="L115" s="2" t="n"/>
      <c r="M115" s="3" t="n"/>
      <c r="N115" s="2" t="n"/>
      <c r="O115" s="2" t="n"/>
      <c r="P115" s="4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3" t="n"/>
      <c r="K116" s="3" t="n"/>
      <c r="L116" s="2" t="n"/>
      <c r="M116" s="3" t="n"/>
      <c r="N116" s="2" t="n"/>
      <c r="O116" s="2" t="n"/>
      <c r="P116" s="4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3" t="n"/>
      <c r="K117" s="3" t="n"/>
      <c r="L117" s="2" t="n"/>
      <c r="M117" s="3" t="n"/>
      <c r="N117" s="2" t="n"/>
      <c r="O117" s="2" t="n"/>
      <c r="P117" s="4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3" t="n"/>
      <c r="K118" s="3" t="n"/>
      <c r="L118" s="2" t="n"/>
      <c r="M118" s="3" t="n"/>
      <c r="N118" s="2" t="n"/>
      <c r="O118" s="2" t="n"/>
      <c r="P118" s="4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3" t="n"/>
      <c r="K119" s="3" t="n"/>
      <c r="L119" s="2" t="n"/>
      <c r="M119" s="3" t="n"/>
      <c r="N119" s="2" t="n"/>
      <c r="O119" s="2" t="n"/>
      <c r="P119" s="4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3" t="n"/>
      <c r="K120" s="3" t="n"/>
      <c r="L120" s="2" t="n"/>
      <c r="M120" s="3" t="n"/>
      <c r="N120" s="2" t="n"/>
      <c r="O120" s="2" t="n"/>
      <c r="P120" s="4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3" t="n"/>
      <c r="K121" s="3" t="n"/>
      <c r="L121" s="2" t="n"/>
      <c r="M121" s="3" t="n"/>
      <c r="N121" s="2" t="n"/>
      <c r="O121" s="2" t="n"/>
      <c r="P121" s="4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3" t="n"/>
      <c r="K122" s="3" t="n"/>
      <c r="L122" s="2" t="n"/>
      <c r="M122" s="3" t="n"/>
      <c r="N122" s="2" t="n"/>
      <c r="O122" s="2" t="n"/>
      <c r="P122" s="4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3" t="n"/>
      <c r="K123" s="3" t="n"/>
      <c r="L123" s="2" t="n"/>
      <c r="M123" s="3" t="n"/>
      <c r="N123" s="2" t="n"/>
      <c r="O123" s="2" t="n"/>
      <c r="P123" s="4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3" t="n"/>
      <c r="K124" s="3" t="n"/>
      <c r="L124" s="2" t="n"/>
      <c r="M124" s="3" t="n"/>
      <c r="N124" s="2" t="n"/>
      <c r="O124" s="2" t="n"/>
      <c r="P124" s="4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3" t="n"/>
      <c r="K125" s="3" t="n"/>
      <c r="L125" s="2" t="n"/>
      <c r="M125" s="3" t="n"/>
      <c r="N125" s="2" t="n"/>
      <c r="O125" s="2" t="n"/>
      <c r="P125" s="4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3" t="n"/>
      <c r="K126" s="3" t="n"/>
      <c r="L126" s="2" t="n"/>
      <c r="M126" s="3" t="n"/>
      <c r="N126" s="2" t="n"/>
      <c r="O126" s="2" t="n"/>
      <c r="P126" s="4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3" t="n"/>
      <c r="K127" s="3" t="n"/>
      <c r="L127" s="2" t="n"/>
      <c r="M127" s="3" t="n"/>
      <c r="N127" s="2" t="n"/>
      <c r="O127" s="2" t="n"/>
      <c r="P127" s="4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3" t="n"/>
      <c r="K128" s="3" t="n"/>
      <c r="L128" s="2" t="n"/>
      <c r="M128" s="3" t="n"/>
      <c r="N128" s="2" t="n"/>
      <c r="O128" s="2" t="n"/>
      <c r="P128" s="4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3" t="n"/>
      <c r="K129" s="3" t="n"/>
      <c r="L129" s="2" t="n"/>
      <c r="M129" s="3" t="n"/>
      <c r="N129" s="2" t="n"/>
      <c r="O129" s="2" t="n"/>
      <c r="P129" s="4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3" t="n"/>
      <c r="K130" s="3" t="n"/>
      <c r="L130" s="2" t="n"/>
      <c r="M130" s="3" t="n"/>
      <c r="N130" s="2" t="n"/>
      <c r="O130" s="2" t="n"/>
      <c r="P130" s="4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3" t="n"/>
      <c r="K131" s="3" t="n"/>
      <c r="L131" s="2" t="n"/>
      <c r="M131" s="3" t="n"/>
      <c r="N131" s="2" t="n"/>
      <c r="O131" s="2" t="n"/>
      <c r="P131" s="4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3" t="n"/>
      <c r="K132" s="3" t="n"/>
      <c r="L132" s="2" t="n"/>
      <c r="M132" s="3" t="n"/>
      <c r="N132" s="2" t="n"/>
      <c r="O132" s="2" t="n"/>
      <c r="P132" s="4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3" t="n"/>
      <c r="K133" s="3" t="n"/>
      <c r="L133" s="2" t="n"/>
      <c r="M133" s="3" t="n"/>
      <c r="N133" s="2" t="n"/>
      <c r="O133" s="2" t="n"/>
      <c r="P133" s="4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3" t="n"/>
      <c r="K134" s="3" t="n"/>
      <c r="L134" s="2" t="n"/>
      <c r="M134" s="3" t="n"/>
      <c r="N134" s="2" t="n"/>
      <c r="O134" s="2" t="n"/>
      <c r="P134" s="4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3" t="n"/>
      <c r="K135" s="3" t="n"/>
      <c r="L135" s="2" t="n"/>
      <c r="M135" s="3" t="n"/>
      <c r="N135" s="2" t="n"/>
      <c r="O135" s="2" t="n"/>
      <c r="P135" s="4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3" t="n"/>
      <c r="K136" s="3" t="n"/>
      <c r="L136" s="2" t="n"/>
      <c r="M136" s="3" t="n"/>
      <c r="N136" s="2" t="n"/>
      <c r="O136" s="2" t="n"/>
      <c r="P136" s="4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3" t="n"/>
      <c r="K137" s="3" t="n"/>
      <c r="L137" s="2" t="n"/>
      <c r="M137" s="3" t="n"/>
      <c r="N137" s="2" t="n"/>
      <c r="O137" s="2" t="n"/>
      <c r="P137" s="4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3" t="n"/>
      <c r="K138" s="3" t="n"/>
      <c r="L138" s="2" t="n"/>
      <c r="M138" s="3" t="n"/>
      <c r="N138" s="2" t="n"/>
      <c r="O138" s="2" t="n"/>
      <c r="P138" s="4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3" t="n"/>
      <c r="K139" s="3" t="n"/>
      <c r="L139" s="2" t="n"/>
      <c r="M139" s="3" t="n"/>
      <c r="N139" s="2" t="n"/>
      <c r="O139" s="2" t="n"/>
      <c r="P139" s="4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3" t="n"/>
      <c r="K140" s="3" t="n"/>
      <c r="L140" s="2" t="n"/>
      <c r="M140" s="3" t="n"/>
      <c r="N140" s="2" t="n"/>
      <c r="O140" s="2" t="n"/>
      <c r="P140" s="4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3" t="n"/>
      <c r="K141" s="3" t="n"/>
      <c r="L141" s="2" t="n"/>
      <c r="M141" s="3" t="n"/>
      <c r="N141" s="2" t="n"/>
      <c r="O141" s="2" t="n"/>
      <c r="P141" s="4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3" t="n"/>
      <c r="K142" s="3" t="n"/>
      <c r="L142" s="2" t="n"/>
      <c r="M142" s="3" t="n"/>
      <c r="N142" s="2" t="n"/>
      <c r="O142" s="2" t="n"/>
      <c r="P142" s="4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3" t="n"/>
      <c r="K143" s="3" t="n"/>
      <c r="L143" s="2" t="n"/>
      <c r="M143" s="3" t="n"/>
      <c r="N143" s="2" t="n"/>
      <c r="O143" s="2" t="n"/>
      <c r="P143" s="4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3" t="n"/>
      <c r="K144" s="3" t="n"/>
      <c r="L144" s="2" t="n"/>
      <c r="M144" s="3" t="n"/>
      <c r="N144" s="2" t="n"/>
      <c r="O144" s="2" t="n"/>
      <c r="P144" s="4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3" t="n"/>
      <c r="K145" s="3" t="n"/>
      <c r="L145" s="2" t="n"/>
      <c r="M145" s="3" t="n"/>
      <c r="N145" s="2" t="n"/>
      <c r="O145" s="2" t="n"/>
      <c r="P145" s="4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3" t="n"/>
      <c r="K146" s="3" t="n"/>
      <c r="L146" s="2" t="n"/>
      <c r="M146" s="3" t="n"/>
      <c r="N146" s="2" t="n"/>
      <c r="O146" s="2" t="n"/>
      <c r="P146" s="4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3" t="n"/>
      <c r="K147" s="3" t="n"/>
      <c r="L147" s="2" t="n"/>
      <c r="M147" s="3" t="n"/>
      <c r="N147" s="2" t="n"/>
      <c r="O147" s="2" t="n"/>
      <c r="P147" s="4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3" t="n"/>
      <c r="K148" s="3" t="n"/>
      <c r="L148" s="2" t="n"/>
      <c r="M148" s="3" t="n"/>
      <c r="N148" s="2" t="n"/>
      <c r="O148" s="2" t="n"/>
      <c r="P148" s="4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3" t="n"/>
      <c r="K149" s="3" t="n"/>
      <c r="L149" s="2" t="n"/>
      <c r="M149" s="3" t="n"/>
      <c r="N149" s="2" t="n"/>
      <c r="O149" s="2" t="n"/>
      <c r="P149" s="4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3" t="n"/>
      <c r="K150" s="3" t="n"/>
      <c r="L150" s="2" t="n"/>
      <c r="M150" s="3" t="n"/>
      <c r="N150" s="2" t="n"/>
      <c r="O150" s="2" t="n"/>
      <c r="P150" s="4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3" t="n"/>
      <c r="K151" s="3" t="n"/>
      <c r="L151" s="2" t="n"/>
      <c r="M151" s="3" t="n"/>
      <c r="N151" s="2" t="n"/>
      <c r="O151" s="2" t="n"/>
      <c r="P151" s="4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3" t="n"/>
      <c r="K152" s="3" t="n"/>
      <c r="L152" s="2" t="n"/>
      <c r="M152" s="3" t="n"/>
      <c r="N152" s="2" t="n"/>
      <c r="O152" s="2" t="n"/>
      <c r="P152" s="4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3" t="n"/>
      <c r="K153" s="3" t="n"/>
      <c r="L153" s="2" t="n"/>
      <c r="M153" s="3" t="n"/>
      <c r="N153" s="2" t="n"/>
      <c r="O153" s="2" t="n"/>
      <c r="P153" s="4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3" t="n"/>
      <c r="K154" s="3" t="n"/>
      <c r="L154" s="2" t="n"/>
      <c r="M154" s="3" t="n"/>
      <c r="N154" s="2" t="n"/>
      <c r="O154" s="2" t="n"/>
      <c r="P154" s="4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3" t="n"/>
      <c r="K155" s="3" t="n"/>
      <c r="L155" s="2" t="n"/>
      <c r="M155" s="3" t="n"/>
      <c r="N155" s="2" t="n"/>
      <c r="O155" s="2" t="n"/>
      <c r="P155" s="4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3" t="n"/>
      <c r="K156" s="3" t="n"/>
      <c r="L156" s="2" t="n"/>
      <c r="M156" s="3" t="n"/>
      <c r="N156" s="2" t="n"/>
      <c r="O156" s="2" t="n"/>
      <c r="P156" s="4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3" t="n"/>
      <c r="K157" s="3" t="n"/>
      <c r="L157" s="2" t="n"/>
      <c r="M157" s="3" t="n"/>
      <c r="N157" s="2" t="n"/>
      <c r="O157" s="2" t="n"/>
      <c r="P157" s="4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3" t="n"/>
      <c r="K158" s="3" t="n"/>
      <c r="L158" s="2" t="n"/>
      <c r="M158" s="3" t="n"/>
      <c r="N158" s="2" t="n"/>
      <c r="O158" s="2" t="n"/>
      <c r="P158" s="4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3" t="n"/>
      <c r="K159" s="3" t="n"/>
      <c r="L159" s="2" t="n"/>
      <c r="M159" s="3" t="n"/>
      <c r="N159" s="2" t="n"/>
      <c r="O159" s="2" t="n"/>
      <c r="P159" s="4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3" t="n"/>
      <c r="K160" s="3" t="n"/>
      <c r="L160" s="2" t="n"/>
      <c r="M160" s="3" t="n"/>
      <c r="N160" s="2" t="n"/>
      <c r="O160" s="2" t="n"/>
      <c r="P160" s="4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3" t="n"/>
      <c r="K161" s="3" t="n"/>
      <c r="L161" s="2" t="n"/>
      <c r="M161" s="3" t="n"/>
      <c r="N161" s="2" t="n"/>
      <c r="O161" s="2" t="n"/>
      <c r="P161" s="4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3" t="n"/>
      <c r="K162" s="3" t="n"/>
      <c r="L162" s="2" t="n"/>
      <c r="M162" s="3" t="n"/>
      <c r="N162" s="2" t="n"/>
      <c r="O162" s="2" t="n"/>
      <c r="P162" s="4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3" t="n"/>
      <c r="K163" s="3" t="n"/>
      <c r="L163" s="2" t="n"/>
      <c r="M163" s="3" t="n"/>
      <c r="N163" s="2" t="n"/>
      <c r="O163" s="2" t="n"/>
      <c r="P163" s="4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3" t="n"/>
      <c r="K164" s="3" t="n"/>
      <c r="L164" s="2" t="n"/>
      <c r="M164" s="3" t="n"/>
      <c r="N164" s="2" t="n"/>
      <c r="O164" s="2" t="n"/>
      <c r="P164" s="4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3" t="n"/>
      <c r="K165" s="3" t="n"/>
      <c r="L165" s="2" t="n"/>
      <c r="M165" s="3" t="n"/>
      <c r="N165" s="2" t="n"/>
      <c r="O165" s="2" t="n"/>
      <c r="P165" s="4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3" t="n"/>
      <c r="K166" s="3" t="n"/>
      <c r="L166" s="2" t="n"/>
      <c r="M166" s="3" t="n"/>
      <c r="N166" s="2" t="n"/>
      <c r="O166" s="2" t="n"/>
      <c r="P166" s="4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3" t="n"/>
      <c r="K167" s="3" t="n"/>
      <c r="L167" s="2" t="n"/>
      <c r="M167" s="3" t="n"/>
      <c r="N167" s="2" t="n"/>
      <c r="O167" s="2" t="n"/>
      <c r="P167" s="4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3" t="n"/>
      <c r="K168" s="3" t="n"/>
      <c r="L168" s="2" t="n"/>
      <c r="M168" s="3" t="n"/>
      <c r="N168" s="2" t="n"/>
      <c r="O168" s="2" t="n"/>
      <c r="P168" s="4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3" t="n"/>
      <c r="K169" s="3" t="n"/>
      <c r="L169" s="2" t="n"/>
      <c r="M169" s="3" t="n"/>
      <c r="N169" s="2" t="n"/>
      <c r="O169" s="2" t="n"/>
      <c r="P169" s="4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3" t="n"/>
      <c r="K170" s="3" t="n"/>
      <c r="L170" s="2" t="n"/>
      <c r="M170" s="3" t="n"/>
      <c r="N170" s="2" t="n"/>
      <c r="O170" s="2" t="n"/>
      <c r="P170" s="4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3" t="n"/>
      <c r="K171" s="3" t="n"/>
      <c r="L171" s="2" t="n"/>
      <c r="M171" s="3" t="n"/>
      <c r="N171" s="2" t="n"/>
      <c r="O171" s="2" t="n"/>
      <c r="P171" s="4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3" t="n"/>
      <c r="K172" s="3" t="n"/>
      <c r="L172" s="2" t="n"/>
      <c r="M172" s="3" t="n"/>
      <c r="N172" s="2" t="n"/>
      <c r="O172" s="2" t="n"/>
      <c r="P172" s="4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3" t="n"/>
      <c r="K173" s="3" t="n"/>
      <c r="L173" s="2" t="n"/>
      <c r="M173" s="3" t="n"/>
      <c r="N173" s="2" t="n"/>
      <c r="O173" s="2" t="n"/>
      <c r="P173" s="4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3" t="n"/>
      <c r="K174" s="3" t="n"/>
      <c r="L174" s="2" t="n"/>
      <c r="M174" s="3" t="n"/>
      <c r="N174" s="2" t="n"/>
      <c r="O174" s="2" t="n"/>
      <c r="P174" s="4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3" t="n"/>
      <c r="K175" s="3" t="n"/>
      <c r="L175" s="2" t="n"/>
      <c r="M175" s="3" t="n"/>
      <c r="N175" s="2" t="n"/>
      <c r="O175" s="2" t="n"/>
      <c r="P175" s="4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3" t="n"/>
      <c r="K176" s="3" t="n"/>
      <c r="L176" s="2" t="n"/>
      <c r="M176" s="3" t="n"/>
      <c r="N176" s="2" t="n"/>
      <c r="O176" s="2" t="n"/>
      <c r="P176" s="4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3" t="n"/>
      <c r="K177" s="3" t="n"/>
      <c r="L177" s="2" t="n"/>
      <c r="M177" s="3" t="n"/>
      <c r="N177" s="2" t="n"/>
      <c r="O177" s="2" t="n"/>
      <c r="P177" s="4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3" t="n"/>
      <c r="K178" s="3" t="n"/>
      <c r="L178" s="2" t="n"/>
      <c r="M178" s="3" t="n"/>
      <c r="N178" s="2" t="n"/>
      <c r="O178" s="2" t="n"/>
      <c r="P178" s="4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3" t="n"/>
      <c r="K179" s="3" t="n"/>
      <c r="L179" s="2" t="n"/>
      <c r="M179" s="3" t="n"/>
      <c r="N179" s="2" t="n"/>
      <c r="O179" s="2" t="n"/>
      <c r="P179" s="4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3" t="n"/>
      <c r="K180" s="3" t="n"/>
      <c r="L180" s="2" t="n"/>
      <c r="M180" s="3" t="n"/>
      <c r="N180" s="2" t="n"/>
      <c r="O180" s="2" t="n"/>
      <c r="P180" s="4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3" t="n"/>
      <c r="K181" s="3" t="n"/>
      <c r="L181" s="2" t="n"/>
      <c r="M181" s="3" t="n"/>
      <c r="N181" s="2" t="n"/>
      <c r="O181" s="2" t="n"/>
      <c r="P181" s="4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3" t="n"/>
      <c r="K182" s="3" t="n"/>
      <c r="L182" s="2" t="n"/>
      <c r="M182" s="3" t="n"/>
      <c r="N182" s="2" t="n"/>
      <c r="O182" s="2" t="n"/>
      <c r="P182" s="4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3" t="n"/>
      <c r="K183" s="3" t="n"/>
      <c r="L183" s="2" t="n"/>
      <c r="M183" s="3" t="n"/>
      <c r="N183" s="2" t="n"/>
      <c r="O183" s="2" t="n"/>
      <c r="P183" s="4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3" t="n"/>
      <c r="K184" s="3" t="n"/>
      <c r="L184" s="2" t="n"/>
      <c r="M184" s="3" t="n"/>
      <c r="N184" s="2" t="n"/>
      <c r="O184" s="2" t="n"/>
      <c r="P184" s="4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3" t="n"/>
      <c r="K185" s="3" t="n"/>
      <c r="L185" s="2" t="n"/>
      <c r="M185" s="3" t="n"/>
      <c r="N185" s="2" t="n"/>
      <c r="O185" s="2" t="n"/>
      <c r="P185" s="4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3" t="n"/>
      <c r="K186" s="3" t="n"/>
      <c r="L186" s="2" t="n"/>
      <c r="M186" s="3" t="n"/>
      <c r="N186" s="2" t="n"/>
      <c r="O186" s="2" t="n"/>
      <c r="P186" s="4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3" t="n"/>
      <c r="K187" s="3" t="n"/>
      <c r="L187" s="2" t="n"/>
      <c r="M187" s="3" t="n"/>
      <c r="N187" s="2" t="n"/>
      <c r="O187" s="2" t="n"/>
      <c r="P187" s="4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3" t="n"/>
      <c r="K188" s="3" t="n"/>
      <c r="L188" s="2" t="n"/>
      <c r="M188" s="3" t="n"/>
      <c r="N188" s="2" t="n"/>
      <c r="O188" s="2" t="n"/>
      <c r="P188" s="4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3" t="n"/>
      <c r="K189" s="3" t="n"/>
      <c r="L189" s="2" t="n"/>
      <c r="M189" s="3" t="n"/>
      <c r="N189" s="2" t="n"/>
      <c r="O189" s="2" t="n"/>
      <c r="P189" s="4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3" t="n"/>
      <c r="K190" s="3" t="n"/>
      <c r="L190" s="2" t="n"/>
      <c r="M190" s="3" t="n"/>
      <c r="N190" s="2" t="n"/>
      <c r="O190" s="2" t="n"/>
      <c r="P190" s="4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3" t="n"/>
      <c r="K191" s="3" t="n"/>
      <c r="L191" s="2" t="n"/>
      <c r="M191" s="3" t="n"/>
      <c r="N191" s="2" t="n"/>
      <c r="O191" s="2" t="n"/>
      <c r="P191" s="4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3" t="n"/>
      <c r="K192" s="3" t="n"/>
      <c r="L192" s="2" t="n"/>
      <c r="M192" s="3" t="n"/>
      <c r="N192" s="2" t="n"/>
      <c r="O192" s="2" t="n"/>
      <c r="P192" s="4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3" t="n"/>
      <c r="K193" s="3" t="n"/>
      <c r="L193" s="2" t="n"/>
      <c r="M193" s="3" t="n"/>
      <c r="N193" s="2" t="n"/>
      <c r="O193" s="2" t="n"/>
      <c r="P193" s="4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3" t="n"/>
      <c r="K194" s="3" t="n"/>
      <c r="L194" s="2" t="n"/>
      <c r="M194" s="3" t="n"/>
      <c r="N194" s="2" t="n"/>
      <c r="O194" s="2" t="n"/>
      <c r="P194" s="4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3" t="n"/>
      <c r="K195" s="3" t="n"/>
      <c r="L195" s="2" t="n"/>
      <c r="M195" s="3" t="n"/>
      <c r="N195" s="2" t="n"/>
      <c r="O195" s="2" t="n"/>
      <c r="P195" s="4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3" t="n"/>
      <c r="K196" s="3" t="n"/>
      <c r="L196" s="2" t="n"/>
      <c r="M196" s="3" t="n"/>
      <c r="N196" s="2" t="n"/>
      <c r="O196" s="2" t="n"/>
      <c r="P196" s="4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3" t="n"/>
      <c r="K197" s="3" t="n"/>
      <c r="L197" s="2" t="n"/>
      <c r="M197" s="3" t="n"/>
      <c r="N197" s="2" t="n"/>
      <c r="O197" s="2" t="n"/>
      <c r="P197" s="4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3" t="n"/>
      <c r="K198" s="3" t="n"/>
      <c r="L198" s="2" t="n"/>
      <c r="M198" s="3" t="n"/>
      <c r="N198" s="2" t="n"/>
      <c r="O198" s="2" t="n"/>
      <c r="P198" s="4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3" t="n"/>
      <c r="K199" s="3" t="n"/>
      <c r="L199" s="2" t="n"/>
      <c r="M199" s="3" t="n"/>
      <c r="N199" s="2" t="n"/>
      <c r="O199" s="2" t="n"/>
      <c r="P199" s="4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3" t="n"/>
      <c r="K200" s="3" t="n"/>
      <c r="L200" s="2" t="n"/>
      <c r="M200" s="3" t="n"/>
      <c r="N200" s="2" t="n"/>
      <c r="O200" s="2" t="n"/>
      <c r="P200" s="4" t="n"/>
    </row>
  </sheetData>
  <autoFilter ref="A1:P200"/>
  <dataValidations count="3">
    <dataValidation sqref="I2:I200" showDropDown="0" showInputMessage="0" showErrorMessage="0" allowBlank="1" type="list">
      <formula1>"1 Listed,2 Messaged,3 Replied,4 Demo done,5 Price agreed,6 Paid,7 Onboarded (first register saved),Let go,Not now"</formula1>
    </dataValidation>
    <dataValidation sqref="H2:H200" showDropDown="0" showInputMessage="0" showErrorMessage="0" allowBlank="1" type="list">
      <formula1>"Person I know,Introduction,Walk-in,Website lead form,Plan request,Association (GNAPS/GNACOPS),Supplier referral,WhatsApp group,Church / mosque,Other"</formula1>
    </dataValidation>
    <dataValidation sqref="N2:N200" showDropDown="0" showInputMessage="0" showErrorMessage="0" allowBlank="1" type="list">
      <formula1>"Yes,No,Not sure"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80" customWidth="1" min="3" max="3"/>
  </cols>
  <sheetData>
    <row r="1">
      <c r="A1" s="5" t="inlineStr">
        <is>
          <t>Working backwards from the goal</t>
        </is>
      </c>
    </row>
    <row r="2">
      <c r="A2" s="6" t="inlineStr">
        <is>
          <t>Blue cells are yours to change. Everything else is a formula. (YC, 'How to Get Your First Customers': 500 messages -&gt; 50% open -&gt; 5% reply -&gt; 50% demo -&gt; 20% close = 2 customers.)</t>
        </is>
      </c>
    </row>
    <row r="4">
      <c r="A4" s="1" t="inlineStr">
        <is>
          <t>Assumption</t>
        </is>
      </c>
      <c r="B4" s="1" t="inlineStr">
        <is>
          <t>Value</t>
        </is>
      </c>
      <c r="C4" s="1" t="inlineStr">
        <is>
          <t>Where it comes from</t>
        </is>
      </c>
    </row>
    <row r="5">
      <c r="A5" s="7" t="inlineStr">
        <is>
          <t>Goal: paying schools by end of term</t>
        </is>
      </c>
      <c r="B5" s="8" t="n">
        <v>10</v>
      </c>
      <c r="C5" s="9" t="inlineStr">
        <is>
          <t>Your goal</t>
        </is>
      </c>
    </row>
    <row r="6">
      <c r="A6" s="7" t="inlineStr">
        <is>
          <t>Reply rate (replied / messaged)</t>
        </is>
      </c>
      <c r="B6" s="10" t="n">
        <v>0.1</v>
      </c>
      <c r="C6" s="9" t="inlineStr">
        <is>
          <t>Talk's cold example is 5% of opened; warm introductions do better. Start here, then use your own.</t>
        </is>
      </c>
    </row>
    <row r="7">
      <c r="A7" s="7" t="inlineStr">
        <is>
          <t>Demo rate (demo / replied)</t>
        </is>
      </c>
      <c r="B7" s="10" t="n">
        <v>0.5</v>
      </c>
      <c r="C7" s="9" t="inlineStr">
        <is>
          <t>Talk's example</t>
        </is>
      </c>
    </row>
    <row r="8">
      <c r="A8" s="7" t="inlineStr">
        <is>
          <t>Close rate (paid / demo)</t>
        </is>
      </c>
      <c r="B8" s="10" t="n">
        <v>0.3</v>
      </c>
      <c r="C8" s="9" t="inlineStr">
        <is>
          <t>Talk's example was 20%; a proprietor decides alone, so 30% is a fair start</t>
        </is>
      </c>
    </row>
    <row r="9">
      <c r="A9" s="7" t="inlineStr">
        <is>
          <t>Onboard rate (first register saved / paid)</t>
        </is>
      </c>
      <c r="B9" s="10" t="n">
        <v>0.9</v>
      </c>
      <c r="C9" s="9" t="inlineStr">
        <is>
          <t>Do the setup in person and this is ~100%</t>
        </is>
      </c>
    </row>
    <row r="10">
      <c r="A10" s="7" t="inlineStr">
        <is>
          <t>Weeks left in the term</t>
        </is>
      </c>
      <c r="B10" s="8" t="n">
        <v>10</v>
      </c>
      <c r="C10" s="9" t="inlineStr">
        <is>
          <t>Change to your calendar</t>
        </is>
      </c>
    </row>
    <row r="12">
      <c r="A12" s="1" t="inlineStr">
        <is>
          <t>What that needs</t>
        </is>
      </c>
      <c r="B12" s="1" t="inlineStr">
        <is>
          <t>Number</t>
        </is>
      </c>
      <c r="C12" s="1" t="inlineStr">
        <is>
          <t>How</t>
        </is>
      </c>
    </row>
    <row r="13">
      <c r="A13" s="7" t="inlineStr">
        <is>
          <t>Schools that must pay</t>
        </is>
      </c>
      <c r="B13" s="11">
        <f>B5/B9</f>
        <v/>
      </c>
      <c r="C13" s="9" t="inlineStr">
        <is>
          <t>goal / onboard rate</t>
        </is>
      </c>
    </row>
    <row r="14">
      <c r="A14" s="7" t="inlineStr">
        <is>
          <t>Demos needed</t>
        </is>
      </c>
      <c r="B14" s="11">
        <f>B13/B8</f>
        <v/>
      </c>
      <c r="C14" s="9" t="inlineStr">
        <is>
          <t>paid / close rate</t>
        </is>
      </c>
    </row>
    <row r="15">
      <c r="A15" s="7" t="inlineStr">
        <is>
          <t>Replies needed</t>
        </is>
      </c>
      <c r="B15" s="11">
        <f>B14/B7</f>
        <v/>
      </c>
      <c r="C15" s="9" t="inlineStr">
        <is>
          <t>demos / demo rate</t>
        </is>
      </c>
    </row>
    <row r="16">
      <c r="A16" s="12" t="inlineStr">
        <is>
          <t>Messages / visits needed</t>
        </is>
      </c>
      <c r="B16" s="13">
        <f>B15/B6</f>
        <v/>
      </c>
      <c r="C16" s="9" t="inlineStr">
        <is>
          <t>replies / reply rate</t>
        </is>
      </c>
    </row>
    <row r="17">
      <c r="A17" s="7" t="inlineStr">
        <is>
          <t>Messages per week</t>
        </is>
      </c>
      <c r="B17" s="11">
        <f>B16/B10</f>
        <v/>
      </c>
      <c r="C17" s="9" t="inlineStr">
        <is>
          <t>messages / weeks</t>
        </is>
      </c>
    </row>
    <row r="18">
      <c r="A18" s="7" t="inlineStr">
        <is>
          <t>Messages per working day</t>
        </is>
      </c>
      <c r="B18" s="11">
        <f>B17/5</f>
        <v/>
      </c>
      <c r="C18" s="9" t="inlineStr"/>
    </row>
    <row r="20">
      <c r="A20" s="1" t="inlineStr">
        <is>
          <t>Where you actually are (counted from the Leads sheet)</t>
        </is>
      </c>
      <c r="B20" s="1" t="inlineStr">
        <is>
          <t>Number</t>
        </is>
      </c>
      <c r="C20" s="1" t="inlineStr">
        <is>
          <t>Rate so far</t>
        </is>
      </c>
    </row>
    <row r="21">
      <c r="A21" s="7" t="inlineStr">
        <is>
          <t>Listed</t>
        </is>
      </c>
      <c r="B21" s="11">
        <f>COUNTA(Leads!B2:B200)</f>
        <v/>
      </c>
    </row>
    <row r="22">
      <c r="A22" s="7" t="inlineStr">
        <is>
          <t>Messaged or further</t>
        </is>
      </c>
      <c r="B22" s="11">
        <f>COUNTIF(Leads!I2:I200,"2 *")+COUNTIF(Leads!I2:I200,"3 *")+COUNTIF(Leads!I2:I200,"4 *")+COUNTIF(Leads!I2:I200,"5 *")+COUNTIF(Leads!I2:I200,"6 *")+COUNTIF(Leads!I2:I200,"7 *")</f>
        <v/>
      </c>
    </row>
    <row r="23">
      <c r="A23" s="7" t="inlineStr">
        <is>
          <t>Replied or further</t>
        </is>
      </c>
      <c r="B23" s="11">
        <f>COUNTIF(Leads!I2:I200,"3 *")+COUNTIF(Leads!I2:I200,"4 *")+COUNTIF(Leads!I2:I200,"5 *")+COUNTIF(Leads!I2:I200,"6 *")+COUNTIF(Leads!I2:I200,"7 *")</f>
        <v/>
      </c>
      <c r="C23" s="14">
        <f>IF(B22=0,0,B23/B22)</f>
        <v/>
      </c>
    </row>
    <row r="24">
      <c r="A24" s="7" t="inlineStr">
        <is>
          <t>Demo done or further</t>
        </is>
      </c>
      <c r="B24" s="11">
        <f>COUNTIF(Leads!I2:I200,"4 *")+COUNTIF(Leads!I2:I200,"5 *")+COUNTIF(Leads!I2:I200,"6 *")+COUNTIF(Leads!I2:I200,"7 *")</f>
        <v/>
      </c>
      <c r="C24" s="14">
        <f>IF(B23=0,0,B24/B23)</f>
        <v/>
      </c>
    </row>
    <row r="25">
      <c r="A25" s="7" t="inlineStr">
        <is>
          <t>Paid or further</t>
        </is>
      </c>
      <c r="B25" s="11">
        <f>COUNTIF(Leads!I2:I200,"6 *")+COUNTIF(Leads!I2:I200,"7 *")</f>
        <v/>
      </c>
      <c r="C25" s="14">
        <f>IF(B24=0,0,B25/B24)</f>
        <v/>
      </c>
    </row>
    <row r="26">
      <c r="A26" s="7" t="inlineStr">
        <is>
          <t>Onboarded (first register saved)</t>
        </is>
      </c>
      <c r="B26" s="11">
        <f>COUNTIF(Leads!I2:I200,"7 *")</f>
        <v/>
      </c>
      <c r="C26" s="14">
        <f>IF(B25=0,0,B26/B25)</f>
        <v/>
      </c>
    </row>
    <row r="27">
      <c r="A27" s="7" t="inlineStr">
        <is>
          <t>Let go / not now</t>
        </is>
      </c>
      <c r="B27" s="11">
        <f>COUNTIF(Leads!I2:I200,"Let go")+COUNTIF(Leads!I2:I200,"Not now")</f>
        <v/>
      </c>
    </row>
    <row r="28">
      <c r="A28" s="7" t="inlineStr">
        <is>
          <t>Still to reach the goal</t>
        </is>
      </c>
      <c r="B28" s="11">
        <f>MAX(0,B5-B26)</f>
        <v/>
      </c>
    </row>
    <row r="30">
      <c r="A30" s="6" t="inlineStr">
        <is>
          <t>Read the rates in column C once you have 50+ messaged. Below that, the talk's advice: you do not have enough data to conclude anything - send more.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  <col width="30" customWidth="1" min="3" max="3"/>
  </cols>
  <sheetData>
    <row r="1">
      <c r="A1" s="1" t="inlineStr">
        <is>
          <t>Where the first 100 names come from (easiest first)</t>
        </is>
      </c>
      <c r="B1" s="1" t="inlineStr">
        <is>
          <t>What to do this week</t>
        </is>
      </c>
      <c r="C1" s="1" t="inlineStr">
        <is>
          <t>Names to add</t>
        </is>
      </c>
    </row>
    <row r="2">
      <c r="A2" s="15" t="inlineStr">
        <is>
          <t>People who already know you</t>
        </is>
      </c>
      <c r="B2" s="15" t="inlineStr">
        <is>
          <t>List relatives, old schools, teachers you know, church members who run schools. Ask each for two introductions.</t>
        </is>
      </c>
      <c r="C2" s="15" t="inlineStr"/>
    </row>
    <row r="3">
      <c r="A3" s="15" t="inlineStr">
        <is>
          <t>Website lead form and plan requests</t>
        </is>
      </c>
      <c r="B3" s="15" t="inlineStr">
        <is>
          <t>Console -&gt; Leads and Console -&gt; Requests. Call the same day.</t>
        </is>
      </c>
      <c r="C3" s="15" t="inlineStr"/>
    </row>
    <row r="4">
      <c r="A4" s="15" t="inlineStr">
        <is>
          <t>Every private basic school within reach</t>
        </is>
      </c>
      <c r="B4" s="15" t="inlineStr">
        <is>
          <t>Walk in at break time with the app on your phone. Ask for the proprietor. Ten a morning.</t>
        </is>
      </c>
      <c r="C4" s="15" t="inlineStr"/>
    </row>
    <row r="5">
      <c r="A5" s="15" t="inlineStr">
        <is>
          <t>GNAPS / GNACOPS chapters</t>
        </is>
      </c>
      <c r="B5" s="15" t="inlineStr">
        <is>
          <t>Ask a member to bring you to the next meeting, or to forward one message to the chapter's WhatsApp group.</t>
        </is>
      </c>
      <c r="C5" s="15" t="inlineStr"/>
    </row>
    <row r="6">
      <c r="A6" s="15" t="inlineStr">
        <is>
          <t>Suppliers who already sell to schools</t>
        </is>
      </c>
      <c r="B6" s="15" t="inlineStr">
        <is>
          <t>Report-card printer, exercise-book wholesaler, MoMo agent at the gate. Offer a finder's month.</t>
        </is>
      </c>
      <c r="C6" s="15" t="inlineStr"/>
    </row>
    <row r="7">
      <c r="A7" s="15" t="inlineStr">
        <is>
          <t>Teachers' and proprietors' WhatsApp / Facebook groups</t>
        </is>
      </c>
      <c r="B7" s="15" t="inlineStr">
        <is>
          <t>One plain message with a 20-second screen recording of the register.</t>
        </is>
      </c>
      <c r="C7" s="15" t="inlineStr"/>
    </row>
    <row r="8">
      <c r="A8" s="15" t="inlineStr">
        <is>
          <t>Churches and mosques with basic schools</t>
        </is>
      </c>
      <c r="B8" s="15" t="inlineStr">
        <is>
          <t>One decision-maker, reachable through the congregation.</t>
        </is>
      </c>
      <c r="C8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2026-09-29T10:45:35Z</dcterms:created>
  <dcterms:modified xmlns:dcterms="http://purl.org/dc/terms/" xmlns:xsi="http://www.w3.org/2001/XMLSchema-instance" xsi:type="dcterms:W3CDTF">2026-09-29T10:45:37Z</dcterms:modified>
</cp:coreProperties>
</file>